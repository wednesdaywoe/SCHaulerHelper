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ayout Patterns" sheetId="2" state="visible" r:id="rId4"/>
    <sheet name="Commodity Patterns" sheetId="3" state="visible" r:id="rId5"/>
    <sheet name="Universal Sequences" sheetId="4" state="visible" r:id="rId6"/>
    <sheet name="Patter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<sst xmlns="http://schemas.openxmlformats.org/spreadsheetml/2006/main" count="203" uniqueCount="76">
  <si>
    <t xml:space="preserve">HAULER HELPER - AUTOFILL PATTERN TRACKER</t>
  </si>
  <si>
    <t xml:space="preserve">Purpose:</t>
  </si>
  <si>
    <t xml:space="preserve">Track autofill patterns discovered during Star Citizen gameplay for the Hauler Helper app.</t>
  </si>
  <si>
    <t xml:space="preserve">How to Use:</t>
  </si>
  <si>
    <t xml:space="preserve">1. Play Star Citizen and take notes when you see repeating mission patterns</t>
  </si>
  <si>
    <t xml:space="preserve">2. Fill in the appropriate sheet based on pattern type (see sheet tabs below)</t>
  </si>
  <si>
    <t xml:space="preserve">3. Use this data to add new patterns to the app code</t>
  </si>
  <si>
    <t xml:space="preserve">Sheet Descriptions:</t>
  </si>
  <si>
    <t xml:space="preserve">• Payout Patterns: Patterns that require BOTH commodity and payout to match (most specific)</t>
  </si>
  <si>
    <t xml:space="preserve">• Commodity Patterns: Patterns that only need commodity to match (less specific)</t>
  </si>
  <si>
    <t xml:space="preserve">• Universal Sequences: Commodity sequences that work across all systems</t>
  </si>
  <si>
    <t xml:space="preserve">• Pattern Summary: Quick overview of all patterns</t>
  </si>
  <si>
    <t xml:space="preserve">Color Legend:</t>
  </si>
  <si>
    <t xml:space="preserve">Blue text = Data you need to fill in</t>
  </si>
  <si>
    <t xml:space="preserve">Yellow background = Important cells to pay attention to</t>
  </si>
  <si>
    <t xml:space="preserve">System</t>
  </si>
  <si>
    <t xml:space="preserve">Category</t>
  </si>
  <si>
    <t xml:space="preserve">Commodity</t>
  </si>
  <si>
    <t xml:space="preserve">Payout</t>
  </si>
  <si>
    <t xml:space="preserve">Pickup 1</t>
  </si>
  <si>
    <t xml:space="preserve">Pickup 2</t>
  </si>
  <si>
    <t xml:space="preserve">Pickup 3</t>
  </si>
  <si>
    <t xml:space="preserve">Pickup 4</t>
  </si>
  <si>
    <t xml:space="preserve">Dest 1</t>
  </si>
  <si>
    <t xml:space="preserve">Dest 2</t>
  </si>
  <si>
    <t xml:space="preserve">Dest 3</t>
  </si>
  <si>
    <t xml:space="preserve">Dest 4</t>
  </si>
  <si>
    <t xml:space="preserve">Commodity 1</t>
  </si>
  <si>
    <t xml:space="preserve">Commodity 2</t>
  </si>
  <si>
    <t xml:space="preserve">Commodity 3</t>
  </si>
  <si>
    <t xml:space="preserve">Commodity 4</t>
  </si>
  <si>
    <t xml:space="preserve">Notes</t>
  </si>
  <si>
    <t xml:space="preserve">hurston</t>
  </si>
  <si>
    <t xml:space="preserve">local</t>
  </si>
  <si>
    <t xml:space="preserve">Quantum Fuel</t>
  </si>
  <si>
    <t xml:space="preserve">60.75k</t>
  </si>
  <si>
    <t xml:space="preserve">HDPC-Cassillo</t>
  </si>
  <si>
    <t xml:space="preserve">HDMS-Operei</t>
  </si>
  <si>
    <t xml:space="preserve">Hydrogen Fuel</t>
  </si>
  <si>
    <t xml:space="preserve">Ship Ammo</t>
  </si>
  <si>
    <t xml:space="preserve">Base pattern</t>
  </si>
  <si>
    <t xml:space="preserve">160.25k</t>
  </si>
  <si>
    <t xml:space="preserve">HDPC-Farnesway</t>
  </si>
  <si>
    <t xml:space="preserve">Different pickup location</t>
  </si>
  <si>
    <t xml:space="preserve">72k</t>
  </si>
  <si>
    <t xml:space="preserve">Teasa Spaceport</t>
  </si>
  <si>
    <t xml:space="preserve">Another pickup variation</t>
  </si>
  <si>
    <t xml:space="preserve">Press Ice</t>
  </si>
  <si>
    <t xml:space="preserve">Proc Food</t>
  </si>
  <si>
    <t xml:space="preserve">Only first 2 have pickup/dest</t>
  </si>
  <si>
    <t xml:space="preserve">microtech</t>
  </si>
  <si>
    <t xml:space="preserve">Covalex S4DC05</t>
  </si>
  <si>
    <t xml:space="preserve">Works for any payout</t>
  </si>
  <si>
    <t xml:space="preserve">Generic pattern</t>
  </si>
  <si>
    <t xml:space="preserve">Stims</t>
  </si>
  <si>
    <t xml:space="preserve">All same commodity</t>
  </si>
  <si>
    <t xml:space="preserve">Quartz</t>
  </si>
  <si>
    <t xml:space="preserve">Corundum</t>
  </si>
  <si>
    <t xml:space="preserve">Delivery mission</t>
  </si>
  <si>
    <t xml:space="preserve">Waste</t>
  </si>
  <si>
    <t xml:space="preserve">Scrap</t>
  </si>
  <si>
    <t xml:space="preserve">Alternating pattern</t>
  </si>
  <si>
    <t xml:space="preserve">Commodity (Trigger)</t>
  </si>
  <si>
    <t xml:space="preserve">Works for ANY system if first commodity is Press Ice</t>
  </si>
  <si>
    <t xml:space="preserve">Works for ANY system if first commodity is Quantum Fuel</t>
  </si>
  <si>
    <t xml:space="preserve">Works for ANY system if first commodity is Waste</t>
  </si>
  <si>
    <t xml:space="preserve">Works for ANY system if first commodity is Quartz</t>
  </si>
  <si>
    <t xml:space="preserve">PATTERN SUMMARY</t>
  </si>
  <si>
    <t xml:space="preserve">Total Patterns by Type:</t>
  </si>
  <si>
    <t xml:space="preserve">Payout-Specific Patterns:</t>
  </si>
  <si>
    <t xml:space="preserve">Commodity-Only Patterns:</t>
  </si>
  <si>
    <t xml:space="preserve">Universal Sequences:</t>
  </si>
  <si>
    <t xml:space="preserve">TOTAL PATTERNS:</t>
  </si>
  <si>
    <t xml:space="preserve">Patterns by System:</t>
  </si>
  <si>
    <t xml:space="preserve">microTech:</t>
  </si>
  <si>
    <t xml:space="preserve">Hurston: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</si>
</sst>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C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4472C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4472C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1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1" t="s">
        <v>8</v>
      </c>
    </row>
    <row r="13" customFormat="false" ht="15" hidden="false" customHeight="true" outlineLevel="0" collapsed="false">
      <c r="A13" s="1" t="s">
        <v>9</v>
      </c>
    </row>
    <row r="14" customFormat="false" ht="15" hidden="false" customHeight="true" outlineLevel="0" collapsed="false">
      <c r="A14" s="1" t="s">
        <v>10</v>
      </c>
    </row>
    <row r="15" customFormat="false" ht="15" hidden="false" customHeight="true" outlineLevel="0" collapsed="false">
      <c r="A15" s="1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12" min="5" style="1" width="18"/>
    <col collapsed="false" customWidth="true" hidden="false" outlineLevel="0" max="16" min="13" style="1" width="15"/>
    <col collapsed="false" customWidth="true" hidden="false" outlineLevel="0" max="17" min="17" style="1" width="30"/>
  </cols>
  <sheetData>
    <row r="1" customFormat="false" ht="15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</row>
    <row r="2" customFormat="false" ht="15" hidden="false" customHeight="true" outlineLevel="0" collapsed="false">
      <c r="A2" s="7" t="s">
        <v>32</v>
      </c>
      <c r="B2" s="7" t="s">
        <v>33</v>
      </c>
      <c r="C2" s="7" t="s">
        <v>34</v>
      </c>
      <c r="D2" s="8" t="s">
        <v>35</v>
      </c>
      <c r="E2" s="9" t="s">
        <v>36</v>
      </c>
      <c r="F2" s="9" t="s">
        <v>36</v>
      </c>
      <c r="G2" s="9" t="s">
        <v>36</v>
      </c>
      <c r="H2" s="9" t="s">
        <v>36</v>
      </c>
      <c r="I2" s="9" t="s">
        <v>37</v>
      </c>
      <c r="J2" s="9" t="s">
        <v>37</v>
      </c>
      <c r="K2" s="9" t="s">
        <v>37</v>
      </c>
      <c r="L2" s="9" t="s">
        <v>37</v>
      </c>
      <c r="M2" s="9" t="s">
        <v>34</v>
      </c>
      <c r="N2" s="9" t="s">
        <v>38</v>
      </c>
      <c r="O2" s="9" t="s">
        <v>38</v>
      </c>
      <c r="P2" s="9" t="s">
        <v>39</v>
      </c>
      <c r="Q2" s="9" t="s">
        <v>40</v>
      </c>
    </row>
    <row r="3" customFormat="false" ht="15" hidden="false" customHeight="true" outlineLevel="0" collapsed="false">
      <c r="A3" s="7" t="s">
        <v>32</v>
      </c>
      <c r="B3" s="7" t="s">
        <v>33</v>
      </c>
      <c r="C3" s="7" t="s">
        <v>34</v>
      </c>
      <c r="D3" s="8" t="s">
        <v>41</v>
      </c>
      <c r="E3" s="9" t="s">
        <v>42</v>
      </c>
      <c r="F3" s="9" t="s">
        <v>42</v>
      </c>
      <c r="G3" s="9" t="s">
        <v>42</v>
      </c>
      <c r="H3" s="9" t="s">
        <v>42</v>
      </c>
      <c r="I3" s="9"/>
      <c r="J3" s="9"/>
      <c r="K3" s="9"/>
      <c r="L3" s="9"/>
      <c r="M3" s="9" t="s">
        <v>34</v>
      </c>
      <c r="N3" s="9" t="s">
        <v>38</v>
      </c>
      <c r="O3" s="9" t="s">
        <v>38</v>
      </c>
      <c r="P3" s="9" t="s">
        <v>39</v>
      </c>
      <c r="Q3" s="9" t="s">
        <v>43</v>
      </c>
    </row>
    <row r="4" customFormat="false" ht="15" hidden="false" customHeight="true" outlineLevel="0" collapsed="false">
      <c r="A4" s="7" t="s">
        <v>32</v>
      </c>
      <c r="B4" s="7" t="s">
        <v>33</v>
      </c>
      <c r="C4" s="7" t="s">
        <v>34</v>
      </c>
      <c r="D4" s="8" t="s">
        <v>44</v>
      </c>
      <c r="E4" s="9" t="s">
        <v>45</v>
      </c>
      <c r="F4" s="9" t="s">
        <v>45</v>
      </c>
      <c r="G4" s="9" t="s">
        <v>45</v>
      </c>
      <c r="H4" s="9" t="s">
        <v>45</v>
      </c>
      <c r="I4" s="9"/>
      <c r="J4" s="9"/>
      <c r="K4" s="9"/>
      <c r="L4" s="9"/>
      <c r="M4" s="9" t="s">
        <v>34</v>
      </c>
      <c r="N4" s="9" t="s">
        <v>38</v>
      </c>
      <c r="O4" s="9" t="s">
        <v>38</v>
      </c>
      <c r="P4" s="9" t="s">
        <v>39</v>
      </c>
      <c r="Q4" s="9" t="s">
        <v>46</v>
      </c>
    </row>
    <row r="5" customFormat="false" ht="15" hidden="false" customHeight="true" outlineLevel="0" collapsed="false">
      <c r="A5" s="7" t="s">
        <v>32</v>
      </c>
      <c r="B5" s="7" t="s">
        <v>33</v>
      </c>
      <c r="C5" s="7" t="s">
        <v>47</v>
      </c>
      <c r="D5" s="8" t="s">
        <v>35</v>
      </c>
      <c r="E5" s="9" t="s">
        <v>36</v>
      </c>
      <c r="F5" s="9" t="s">
        <v>36</v>
      </c>
      <c r="G5" s="9"/>
      <c r="H5" s="9"/>
      <c r="I5" s="9" t="s">
        <v>37</v>
      </c>
      <c r="J5" s="9" t="s">
        <v>37</v>
      </c>
      <c r="K5" s="9"/>
      <c r="L5" s="9"/>
      <c r="M5" s="9" t="s">
        <v>47</v>
      </c>
      <c r="N5" s="9" t="s">
        <v>47</v>
      </c>
      <c r="O5" s="9" t="s">
        <v>48</v>
      </c>
      <c r="P5" s="9" t="s">
        <v>48</v>
      </c>
      <c r="Q5" s="9" t="s">
        <v>49</v>
      </c>
    </row>
    <row r="6" customFormat="false" ht="15" hidden="false" customHeight="true" outlineLevel="0" collapsed="false">
      <c r="A6" s="7"/>
      <c r="B6" s="7"/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customFormat="false" ht="15" hidden="false" customHeight="true" outlineLevel="0" collapsed="false">
      <c r="A7" s="7"/>
      <c r="B7" s="7"/>
      <c r="C7" s="7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customFormat="false" ht="15" hidden="false" customHeight="true" outlineLevel="0" collapsed="false">
      <c r="A8" s="7"/>
      <c r="B8" s="7"/>
      <c r="C8" s="7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customFormat="false" ht="15" hidden="false" customHeight="true" outlineLevel="0" collapsed="false">
      <c r="A9" s="7"/>
      <c r="B9" s="7"/>
      <c r="C9" s="7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7"/>
      <c r="B10" s="7"/>
      <c r="C10" s="7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7"/>
      <c r="B11" s="7"/>
      <c r="C11" s="7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7"/>
      <c r="B12" s="7"/>
      <c r="C12" s="7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7"/>
      <c r="B13" s="7"/>
      <c r="C13" s="7"/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7"/>
      <c r="B14" s="7"/>
      <c r="C14" s="7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7"/>
      <c r="B15" s="7"/>
      <c r="C15" s="7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7"/>
      <c r="B16" s="7"/>
      <c r="C16" s="7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7"/>
      <c r="B17" s="7"/>
      <c r="C17" s="7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7"/>
      <c r="B18" s="7"/>
      <c r="C18" s="7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7"/>
      <c r="B19" s="7"/>
      <c r="C19" s="7"/>
      <c r="D19" s="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7"/>
      <c r="B20" s="7"/>
      <c r="C20" s="7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7"/>
      <c r="B21" s="7"/>
      <c r="C21" s="7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7"/>
      <c r="B22" s="7"/>
      <c r="C22" s="7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7"/>
      <c r="B23" s="7"/>
      <c r="C23" s="7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7"/>
      <c r="B24" s="7"/>
      <c r="C24" s="7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7"/>
      <c r="B25" s="7"/>
      <c r="C25" s="7"/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5"/>
    <col collapsed="false" customWidth="true" hidden="false" outlineLevel="0" max="11" min="4" style="1" width="18"/>
    <col collapsed="false" customWidth="true" hidden="false" outlineLevel="0" max="15" min="12" style="1" width="15"/>
    <col collapsed="false" customWidth="true" hidden="false" outlineLevel="0" max="16" min="16" style="1" width="30"/>
  </cols>
  <sheetData>
    <row r="1" customFormat="false" ht="15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</row>
    <row r="2" customFormat="false" ht="15" hidden="false" customHeight="true" outlineLevel="0" collapsed="false">
      <c r="A2" s="7" t="s">
        <v>50</v>
      </c>
      <c r="B2" s="7" t="s">
        <v>33</v>
      </c>
      <c r="C2" s="7" t="s">
        <v>38</v>
      </c>
      <c r="D2" s="9" t="s">
        <v>51</v>
      </c>
      <c r="E2" s="9" t="s">
        <v>51</v>
      </c>
      <c r="F2" s="9" t="s">
        <v>51</v>
      </c>
      <c r="G2" s="9" t="s">
        <v>51</v>
      </c>
      <c r="H2" s="9"/>
      <c r="I2" s="9"/>
      <c r="J2" s="9"/>
      <c r="K2" s="9"/>
      <c r="L2" s="9" t="s">
        <v>38</v>
      </c>
      <c r="M2" s="9" t="s">
        <v>38</v>
      </c>
      <c r="N2" s="9" t="s">
        <v>34</v>
      </c>
      <c r="O2" s="9" t="s">
        <v>39</v>
      </c>
      <c r="P2" s="9" t="s">
        <v>52</v>
      </c>
    </row>
    <row r="3" customFormat="false" ht="15" hidden="false" customHeight="true" outlineLevel="0" collapsed="false">
      <c r="A3" s="7" t="s">
        <v>50</v>
      </c>
      <c r="B3" s="7" t="s">
        <v>33</v>
      </c>
      <c r="C3" s="7" t="s">
        <v>47</v>
      </c>
      <c r="D3" s="9" t="s">
        <v>51</v>
      </c>
      <c r="E3" s="9" t="s">
        <v>51</v>
      </c>
      <c r="F3" s="9" t="s">
        <v>51</v>
      </c>
      <c r="G3" s="9" t="s">
        <v>51</v>
      </c>
      <c r="H3" s="9"/>
      <c r="I3" s="9"/>
      <c r="J3" s="9"/>
      <c r="K3" s="9"/>
      <c r="L3" s="9" t="s">
        <v>47</v>
      </c>
      <c r="M3" s="9" t="s">
        <v>47</v>
      </c>
      <c r="N3" s="9" t="s">
        <v>48</v>
      </c>
      <c r="O3" s="9" t="s">
        <v>48</v>
      </c>
      <c r="P3" s="9" t="s">
        <v>53</v>
      </c>
    </row>
    <row r="4" customFormat="false" ht="15" hidden="false" customHeight="true" outlineLevel="0" collapsed="false">
      <c r="A4" s="7" t="s">
        <v>50</v>
      </c>
      <c r="B4" s="7" t="s">
        <v>33</v>
      </c>
      <c r="C4" s="7" t="s">
        <v>54</v>
      </c>
      <c r="D4" s="9" t="s">
        <v>51</v>
      </c>
      <c r="E4" s="9" t="s">
        <v>51</v>
      </c>
      <c r="F4" s="9" t="s">
        <v>51</v>
      </c>
      <c r="G4" s="9" t="s">
        <v>51</v>
      </c>
      <c r="H4" s="9"/>
      <c r="I4" s="9"/>
      <c r="J4" s="9"/>
      <c r="K4" s="9"/>
      <c r="L4" s="9" t="s">
        <v>54</v>
      </c>
      <c r="M4" s="9" t="s">
        <v>54</v>
      </c>
      <c r="N4" s="9" t="s">
        <v>54</v>
      </c>
      <c r="O4" s="9" t="s">
        <v>54</v>
      </c>
      <c r="P4" s="9" t="s">
        <v>55</v>
      </c>
    </row>
    <row r="5" customFormat="false" ht="15" hidden="false" customHeight="true" outlineLevel="0" collapsed="false">
      <c r="A5" s="7" t="s">
        <v>50</v>
      </c>
      <c r="B5" s="7" t="s">
        <v>33</v>
      </c>
      <c r="C5" s="7" t="s">
        <v>56</v>
      </c>
      <c r="D5" s="9"/>
      <c r="E5" s="9"/>
      <c r="F5" s="9"/>
      <c r="G5" s="9"/>
      <c r="H5" s="9" t="s">
        <v>51</v>
      </c>
      <c r="I5" s="9" t="s">
        <v>51</v>
      </c>
      <c r="J5" s="9" t="s">
        <v>51</v>
      </c>
      <c r="K5" s="9" t="s">
        <v>51</v>
      </c>
      <c r="L5" s="9" t="s">
        <v>56</v>
      </c>
      <c r="M5" s="9" t="s">
        <v>57</v>
      </c>
      <c r="N5" s="9" t="s">
        <v>56</v>
      </c>
      <c r="O5" s="9" t="s">
        <v>57</v>
      </c>
      <c r="P5" s="9" t="s">
        <v>58</v>
      </c>
    </row>
    <row r="6" customFormat="false" ht="15" hidden="false" customHeight="true" outlineLevel="0" collapsed="false">
      <c r="A6" s="7" t="s">
        <v>50</v>
      </c>
      <c r="B6" s="7" t="s">
        <v>33</v>
      </c>
      <c r="C6" s="7" t="s">
        <v>59</v>
      </c>
      <c r="D6" s="9"/>
      <c r="E6" s="9"/>
      <c r="F6" s="9"/>
      <c r="G6" s="9"/>
      <c r="H6" s="9" t="s">
        <v>51</v>
      </c>
      <c r="I6" s="9" t="s">
        <v>51</v>
      </c>
      <c r="J6" s="9" t="s">
        <v>51</v>
      </c>
      <c r="K6" s="9" t="s">
        <v>51</v>
      </c>
      <c r="L6" s="9" t="s">
        <v>59</v>
      </c>
      <c r="M6" s="9" t="s">
        <v>60</v>
      </c>
      <c r="N6" s="9" t="s">
        <v>59</v>
      </c>
      <c r="O6" s="9" t="s">
        <v>60</v>
      </c>
      <c r="P6" s="9" t="s">
        <v>61</v>
      </c>
    </row>
    <row r="7" customFormat="false" ht="15" hidden="false" customHeight="true" outlineLevel="0" collapsed="false">
      <c r="A7" s="7"/>
      <c r="B7" s="7"/>
      <c r="C7" s="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15" hidden="false" customHeight="true" outlineLevel="0" collapsed="false">
      <c r="A8" s="7"/>
      <c r="B8" s="7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15" hidden="false" customHeight="true" outlineLevel="0" collapsed="false">
      <c r="A9" s="7"/>
      <c r="B9" s="7"/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15" hidden="false" customHeight="true" outlineLevel="0" collapsed="false">
      <c r="A10" s="7"/>
      <c r="B10" s="7"/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15" hidden="false" customHeight="true" outlineLevel="0" collapsed="false">
      <c r="A11" s="7"/>
      <c r="B11" s="7"/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15" hidden="false" customHeight="true" outlineLevel="0" collapsed="false">
      <c r="A12" s="7"/>
      <c r="B12" s="7"/>
      <c r="C12" s="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15" hidden="false" customHeight="true" outlineLevel="0" collapsed="false">
      <c r="A13" s="7"/>
      <c r="B13" s="7"/>
      <c r="C13" s="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15" hidden="false" customHeight="true" outlineLevel="0" collapsed="false">
      <c r="A14" s="7"/>
      <c r="B14" s="7"/>
      <c r="C14" s="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15" hidden="false" customHeight="true" outlineLevel="0" collapsed="false">
      <c r="A15" s="7"/>
      <c r="B15" s="7"/>
      <c r="C15" s="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15" hidden="false" customHeight="true" outlineLevel="0" collapsed="false">
      <c r="A16" s="7"/>
      <c r="B16" s="7"/>
      <c r="C16" s="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15" hidden="false" customHeight="true" outlineLevel="0" collapsed="false">
      <c r="A17" s="7"/>
      <c r="B17" s="7"/>
      <c r="C17" s="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15" hidden="false" customHeight="true" outlineLevel="0" collapsed="false">
      <c r="A18" s="7"/>
      <c r="B18" s="7"/>
      <c r="C18" s="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15" hidden="false" customHeight="true" outlineLevel="0" collapsed="false">
      <c r="A19" s="7"/>
      <c r="B19" s="7"/>
      <c r="C19" s="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15" hidden="false" customHeight="true" outlineLevel="0" collapsed="false">
      <c r="A20" s="7"/>
      <c r="B20" s="7"/>
      <c r="C20" s="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15" hidden="false" customHeight="true" outlineLevel="0" collapsed="false">
      <c r="A21" s="7"/>
      <c r="B21" s="7"/>
      <c r="C21" s="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15" hidden="false" customHeight="true" outlineLevel="0" collapsed="false">
      <c r="A22" s="7"/>
      <c r="B22" s="7"/>
      <c r="C22" s="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15" hidden="false" customHeight="true" outlineLevel="0" collapsed="false">
      <c r="A23" s="7"/>
      <c r="B23" s="7"/>
      <c r="C23" s="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15" hidden="false" customHeight="true" outlineLevel="0" collapsed="false">
      <c r="A24" s="7"/>
      <c r="B24" s="7"/>
      <c r="C24" s="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15" hidden="false" customHeight="true" outlineLevel="0" collapsed="false">
      <c r="A25" s="7"/>
      <c r="B25" s="7"/>
      <c r="C25" s="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15" hidden="false" customHeight="true" outlineLevel="0" collapsed="false">
      <c r="A26" s="7"/>
      <c r="B26" s="7"/>
      <c r="C26" s="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5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6" t="s">
        <v>62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</row>
    <row r="2" customFormat="false" ht="15" hidden="false" customHeight="true" outlineLevel="0" collapsed="false">
      <c r="A2" s="8" t="s">
        <v>47</v>
      </c>
      <c r="B2" s="9" t="s">
        <v>47</v>
      </c>
      <c r="C2" s="9" t="s">
        <v>47</v>
      </c>
      <c r="D2" s="9" t="s">
        <v>48</v>
      </c>
      <c r="E2" s="9" t="s">
        <v>48</v>
      </c>
      <c r="F2" s="9" t="s">
        <v>63</v>
      </c>
    </row>
    <row r="3" customFormat="false" ht="15" hidden="false" customHeight="true" outlineLevel="0" collapsed="false">
      <c r="A3" s="8" t="s">
        <v>34</v>
      </c>
      <c r="B3" s="9" t="s">
        <v>34</v>
      </c>
      <c r="C3" s="9" t="s">
        <v>38</v>
      </c>
      <c r="D3" s="9" t="s">
        <v>38</v>
      </c>
      <c r="E3" s="9" t="s">
        <v>39</v>
      </c>
      <c r="F3" s="9" t="s">
        <v>64</v>
      </c>
    </row>
    <row r="4" customFormat="false" ht="15" hidden="false" customHeight="true" outlineLevel="0" collapsed="false">
      <c r="A4" s="8" t="s">
        <v>59</v>
      </c>
      <c r="B4" s="9" t="s">
        <v>59</v>
      </c>
      <c r="C4" s="9" t="s">
        <v>60</v>
      </c>
      <c r="D4" s="9" t="s">
        <v>59</v>
      </c>
      <c r="E4" s="9" t="s">
        <v>60</v>
      </c>
      <c r="F4" s="9" t="s">
        <v>65</v>
      </c>
    </row>
    <row r="5" customFormat="false" ht="15" hidden="false" customHeight="true" outlineLevel="0" collapsed="false">
      <c r="A5" s="8" t="s">
        <v>56</v>
      </c>
      <c r="B5" s="9" t="s">
        <v>56</v>
      </c>
      <c r="C5" s="9" t="s">
        <v>57</v>
      </c>
      <c r="D5" s="9" t="s">
        <v>56</v>
      </c>
      <c r="E5" s="9" t="s">
        <v>57</v>
      </c>
      <c r="F5" s="9" t="s">
        <v>66</v>
      </c>
    </row>
    <row r="6" customFormat="false" ht="15" hidden="false" customHeight="true" outlineLevel="0" collapsed="false">
      <c r="A6" s="8"/>
      <c r="B6" s="9"/>
      <c r="C6" s="9"/>
      <c r="D6" s="9"/>
      <c r="E6" s="9"/>
      <c r="F6" s="9"/>
    </row>
    <row r="7" customFormat="false" ht="15" hidden="false" customHeight="true" outlineLevel="0" collapsed="false">
      <c r="A7" s="8"/>
      <c r="B7" s="9"/>
      <c r="C7" s="9"/>
      <c r="D7" s="9"/>
      <c r="E7" s="9"/>
      <c r="F7" s="9"/>
    </row>
    <row r="8" customFormat="false" ht="15" hidden="false" customHeight="true" outlineLevel="0" collapsed="false">
      <c r="A8" s="8"/>
      <c r="B8" s="9"/>
      <c r="C8" s="9"/>
      <c r="D8" s="9"/>
      <c r="E8" s="9"/>
      <c r="F8" s="9"/>
    </row>
    <row r="9" customFormat="false" ht="15" hidden="false" customHeight="true" outlineLevel="0" collapsed="false">
      <c r="A9" s="8"/>
      <c r="B9" s="9"/>
      <c r="C9" s="9"/>
      <c r="D9" s="9"/>
      <c r="E9" s="9"/>
      <c r="F9" s="9"/>
    </row>
    <row r="10" customFormat="false" ht="15" hidden="false" customHeight="true" outlineLevel="0" collapsed="false">
      <c r="A10" s="8"/>
      <c r="B10" s="9"/>
      <c r="C10" s="9"/>
      <c r="D10" s="9"/>
      <c r="E10" s="9"/>
      <c r="F10" s="9"/>
    </row>
    <row r="11" customFormat="false" ht="15" hidden="false" customHeight="true" outlineLevel="0" collapsed="false">
      <c r="A11" s="8"/>
      <c r="B11" s="9"/>
      <c r="C11" s="9"/>
      <c r="D11" s="9"/>
      <c r="E11" s="9"/>
      <c r="F11" s="9"/>
    </row>
    <row r="12" customFormat="false" ht="15" hidden="false" customHeight="true" outlineLevel="0" collapsed="false">
      <c r="A12" s="8"/>
      <c r="B12" s="9"/>
      <c r="C12" s="9"/>
      <c r="D12" s="9"/>
      <c r="E12" s="9"/>
      <c r="F12" s="9"/>
    </row>
    <row r="13" customFormat="false" ht="15" hidden="false" customHeight="true" outlineLevel="0" collapsed="false">
      <c r="A13" s="8"/>
      <c r="B13" s="9"/>
      <c r="C13" s="9"/>
      <c r="D13" s="9"/>
      <c r="E13" s="9"/>
      <c r="F13" s="9"/>
    </row>
    <row r="14" customFormat="false" ht="15" hidden="false" customHeight="true" outlineLevel="0" collapsed="false">
      <c r="A14" s="8"/>
      <c r="B14" s="9"/>
      <c r="C14" s="9"/>
      <c r="D14" s="9"/>
      <c r="E14" s="9"/>
      <c r="F14" s="9"/>
    </row>
    <row r="15" customFormat="false" ht="15" hidden="false" customHeight="true" outlineLevel="0" collapsed="false">
      <c r="A15" s="8"/>
      <c r="B15" s="9"/>
      <c r="C15" s="9"/>
      <c r="D15" s="9"/>
      <c r="E15" s="9"/>
      <c r="F15" s="9"/>
    </row>
    <row r="16" customFormat="false" ht="15" hidden="false" customHeight="true" outlineLevel="0" collapsed="false">
      <c r="A16" s="8"/>
      <c r="B16" s="9"/>
      <c r="C16" s="9"/>
      <c r="D16" s="9"/>
      <c r="E16" s="9"/>
      <c r="F16" s="9"/>
    </row>
    <row r="17" customFormat="false" ht="15" hidden="false" customHeight="true" outlineLevel="0" collapsed="false">
      <c r="A17" s="8"/>
      <c r="B17" s="9"/>
      <c r="C17" s="9"/>
      <c r="D17" s="9"/>
      <c r="E17" s="9"/>
      <c r="F17" s="9"/>
    </row>
    <row r="18" customFormat="false" ht="15" hidden="false" customHeight="true" outlineLevel="0" collapsed="false">
      <c r="A18" s="8"/>
      <c r="B18" s="9"/>
      <c r="C18" s="9"/>
      <c r="D18" s="9"/>
      <c r="E18" s="9"/>
      <c r="F18" s="9"/>
    </row>
    <row r="19" customFormat="false" ht="15" hidden="false" customHeight="true" outlineLevel="0" collapsed="false">
      <c r="A19" s="8"/>
      <c r="B19" s="9"/>
      <c r="C19" s="9"/>
      <c r="D19" s="9"/>
      <c r="E19" s="9"/>
      <c r="F19" s="9"/>
    </row>
    <row r="20" customFormat="false" ht="15" hidden="false" customHeight="true" outlineLevel="0" collapsed="false">
      <c r="A20" s="8"/>
      <c r="B20" s="9"/>
      <c r="C20" s="9"/>
      <c r="D20" s="9"/>
      <c r="E20" s="9"/>
      <c r="F20" s="9"/>
    </row>
    <row r="21" customFormat="false" ht="15" hidden="false" customHeight="true" outlineLevel="0" collapsed="false">
      <c r="A21" s="8"/>
      <c r="B21" s="9"/>
      <c r="C21" s="9"/>
      <c r="D21" s="9"/>
      <c r="E21" s="9"/>
      <c r="F21" s="9"/>
    </row>
    <row r="22" customFormat="false" ht="15" hidden="false" customHeight="true" outlineLevel="0" collapsed="false">
      <c r="A22" s="8"/>
      <c r="B22" s="9"/>
      <c r="C22" s="9"/>
      <c r="D22" s="9"/>
      <c r="E22" s="9"/>
      <c r="F2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" t="s">
        <v>67</v>
      </c>
    </row>
    <row r="3" customFormat="false" ht="15" hidden="false" customHeight="true" outlineLevel="0" collapsed="false">
      <c r="A3" s="3" t="s">
        <v>68</v>
      </c>
    </row>
    <row r="5" customFormat="false" ht="15" hidden="false" customHeight="true" outlineLevel="0" collapsed="false">
      <c r="A5" s="1" t="s">
        <v>69</v>
      </c>
      <c r="B5" s="3" t="n">
        <f aca="false">COUNTA('Payout Patterns'!A2:A1000)</f>
        <v>4</v>
      </c>
    </row>
    <row r="6" customFormat="false" ht="15" hidden="false" customHeight="true" outlineLevel="0" collapsed="false">
      <c r="A6" s="1" t="s">
        <v>70</v>
      </c>
      <c r="B6" s="3" t="n">
        <f aca="false">COUNTA('Commodity Patterns'!A2:A1000)</f>
        <v>5</v>
      </c>
    </row>
    <row r="7" customFormat="false" ht="15" hidden="false" customHeight="true" outlineLevel="0" collapsed="false">
      <c r="A7" s="1" t="s">
        <v>71</v>
      </c>
      <c r="B7" s="3" t="n">
        <f aca="false">COUNTA('Universal Sequences'!A2:A1000)</f>
        <v>4</v>
      </c>
    </row>
    <row r="9" customFormat="false" ht="15" hidden="false" customHeight="true" outlineLevel="0" collapsed="false">
      <c r="A9" s="11" t="s">
        <v>72</v>
      </c>
      <c r="B9" s="12" t="n">
        <f aca="false">B5+B6+B7</f>
        <v>13</v>
      </c>
    </row>
    <row r="12" customFormat="false" ht="15" hidden="false" customHeight="true" outlineLevel="0" collapsed="false">
      <c r="A12" s="3" t="s">
        <v>73</v>
      </c>
    </row>
    <row r="13" customFormat="false" ht="15" hidden="false" customHeight="true" outlineLevel="0" collapsed="false">
      <c r="A13" s="1" t="s">
        <v>74</v>
      </c>
      <c r="B13" s="1" t="n">
        <f aca="false">COUNTIF('Commodity Patterns'!A:A,"microtech")+COUNTIF('Payout Patterns'!A:A,"microtech")</f>
        <v>5</v>
      </c>
    </row>
    <row r="14" customFormat="false" ht="15" hidden="false" customHeight="true" outlineLevel="0" collapsed="false">
      <c r="A14" s="1" t="s">
        <v>75</v>
      </c>
      <c r="B14" s="1" t="n">
        <f aca="false">COUNTIF('Commodity Patterns'!A:A,"hurston")+COUNTIF('Payout Patterns'!A:A,"hurston")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2025-12-05T02:48:21Z</dcterms:created>
  <dc:creator>openpyxl</dc:creator>
  <dc:description/>
  <dc:language>en-US</dc:language>
  <cp:lastModifiedBy/>
  <dcterms:modified xsi:type="dcterms:W3CDTF">2025-12-05T03:15:31Z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